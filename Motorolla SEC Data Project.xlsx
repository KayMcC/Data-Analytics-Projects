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y\OneDrive\Desktop\Data Analyst IBM Course\Independent Projects Completed\"/>
    </mc:Choice>
  </mc:AlternateContent>
  <xr:revisionPtr revIDLastSave="0" documentId="8_{B901C41A-A102-4BF7-821E-2C041F2E9E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 Data MSI" sheetId="2" r:id="rId1"/>
  </sheets>
  <definedNames>
    <definedName name="_xlnm._FilterDatabase" localSheetId="0" hidden="1">'Clean Data MSI'!$A$3:$D$24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<sst xmlns="http://schemas.openxmlformats.org/spreadsheetml/2006/main" count="33" uniqueCount="31">
  <si>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(In millions, except per share amounts)</t>
  </si>
  <si>
    <t>Earnings per common share:</t>
  </si>
  <si>
    <t>Weighted average common shares outstanding:</t>
  </si>
  <si>
    <t>Net sales from products</t>
  </si>
  <si>
    <t>Net sales from services</t>
  </si>
  <si>
    <t>Net sales</t>
  </si>
  <si>
    <t>Costs of products sales</t>
  </si>
  <si>
    <t>Costs of services sales</t>
  </si>
  <si>
    <t>Costs of sales</t>
  </si>
  <si>
    <t>Gross margin</t>
  </si>
  <si>
    <t>Selling, general and administrative expenses</t>
  </si>
  <si>
    <t>Research and development expenditures</t>
  </si>
  <si>
    <t>Other charges</t>
  </si>
  <si>
    <t>Operating earnings</t>
  </si>
  <si>
    <t>Other income (expense):</t>
  </si>
  <si>
    <t>Interest expense, net</t>
  </si>
  <si>
    <t>Gains on sales of investments and businesses, net</t>
  </si>
  <si>
    <t>Other, net</t>
  </si>
  <si>
    <t>Total other expense</t>
  </si>
  <si>
    <t>Net earnings before income taxes</t>
  </si>
  <si>
    <t>Income tax expense</t>
  </si>
  <si>
    <t>Net earnings</t>
  </si>
  <si>
    <t>Less: Earnings attributable to noncontrolling interests</t>
  </si>
  <si>
    <t>Net earnings attributable to Motorola Solutions, Inc.</t>
  </si>
  <si>
    <t>Basic</t>
  </si>
  <si>
    <t>Diluted</t>
  </si>
  <si>
    <t>Dividends declared per share</t>
  </si>
  <si>
    <t>2022</t>
  </si>
  <si>
    <t>2023</t>
  </si>
  <si>
    <t>2024</t>
  </si>
  <si>
    <t>Consolidated Statements of Operations For Motorolla According to the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</si>
</sst>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6" formatCode="_([$$-409]* #,##0.00_);_([$$-409]* \(#,##0.00\);_([$$-409]* &quot;-&quot;??_);_(@_)"/>
  </numFmts>
  <fonts count="1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1">
    <xf numFmtId="0" fontId="0" fillId="0" borderId="0" xfId="0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left" vertical="top"/>
    </xf>
    <xf numFmtId="44" fontId="4" fillId="0" borderId="0" xfId="1" applyFont="1" applyBorder="1" applyAlignment="1">
      <alignment horizontal="center" vertical="top" shrinkToFit="1"/>
    </xf>
    <xf numFmtId="166" fontId="6" fillId="0" borderId="0" xfId="0" applyNumberFormat="1" applyFont="1" applyAlignment="1">
      <alignment horizontal="left" vertical="top" wrapText="1" indent="2"/>
    </xf>
    <xf numFmtId="166" fontId="1" fillId="5" borderId="2" xfId="0" applyNumberFormat="1" applyFont="1" applyFill="1" applyBorder="1" applyAlignment="1">
      <alignment vertical="top"/>
    </xf>
    <xf numFmtId="166" fontId="1" fillId="5" borderId="2" xfId="0" applyNumberFormat="1" applyFont="1" applyFill="1" applyBorder="1" applyAlignment="1">
      <alignment vertical="top" shrinkToFit="1"/>
    </xf>
    <xf numFmtId="0" fontId="7" fillId="0" borderId="0" xfId="0" applyFont="1" applyAlignment="1">
      <alignment horizontal="left" vertical="top"/>
    </xf>
    <xf numFmtId="166" fontId="1" fillId="3" borderId="1" xfId="0" applyNumberFormat="1" applyFont="1" applyFill="1" applyBorder="1" applyAlignment="1">
      <alignment vertical="top"/>
    </xf>
    <xf numFmtId="166" fontId="1" fillId="3" borderId="1" xfId="0" applyNumberFormat="1" applyFont="1" applyFill="1" applyBorder="1" applyAlignment="1">
      <alignment vertical="top" shrinkToFit="1"/>
    </xf>
    <xf numFmtId="166" fontId="1" fillId="3" borderId="3" xfId="0" applyNumberFormat="1" applyFont="1" applyFill="1" applyBorder="1" applyAlignment="1">
      <alignment vertical="top"/>
    </xf>
    <xf numFmtId="166" fontId="1" fillId="3" borderId="3" xfId="0" applyNumberFormat="1" applyFont="1" applyFill="1" applyBorder="1" applyAlignment="1">
      <alignment vertical="top" shrinkToFi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6" fillId="0" borderId="8" xfId="0" applyFont="1" applyBorder="1" applyAlignment="1">
      <alignment horizontal="left" vertical="top" wrapText="1"/>
    </xf>
    <xf numFmtId="166" fontId="4" fillId="3" borderId="0" xfId="0" applyNumberFormat="1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vertical="top" shrinkToFit="1"/>
    </xf>
    <xf numFmtId="44" fontId="4" fillId="3" borderId="9" xfId="1" applyFont="1" applyFill="1" applyBorder="1" applyAlignment="1">
      <alignment vertical="top" shrinkToFit="1"/>
    </xf>
    <xf numFmtId="166" fontId="7" fillId="7" borderId="0" xfId="0" applyNumberFormat="1" applyFont="1" applyFill="1" applyBorder="1" applyAlignment="1">
      <alignment vertical="top"/>
    </xf>
    <xf numFmtId="166" fontId="7" fillId="7" borderId="0" xfId="0" applyNumberFormat="1" applyFont="1" applyFill="1" applyBorder="1" applyAlignment="1">
      <alignment vertical="top" shrinkToFit="1"/>
    </xf>
    <xf numFmtId="44" fontId="7" fillId="7" borderId="9" xfId="1" applyFont="1" applyFill="1" applyBorder="1" applyAlignment="1">
      <alignment vertical="top" shrinkToFit="1"/>
    </xf>
    <xf numFmtId="0" fontId="6" fillId="0" borderId="10" xfId="0" applyFont="1" applyBorder="1" applyAlignment="1">
      <alignment horizontal="left" vertical="top" wrapText="1"/>
    </xf>
    <xf numFmtId="8" fontId="1" fillId="3" borderId="11" xfId="1" applyNumberFormat="1" applyFont="1" applyFill="1" applyBorder="1" applyAlignment="1">
      <alignment vertical="top" shrinkToFit="1"/>
    </xf>
    <xf numFmtId="0" fontId="6" fillId="6" borderId="12" xfId="0" applyFont="1" applyFill="1" applyBorder="1" applyAlignment="1">
      <alignment horizontal="left" vertical="top" wrapText="1"/>
    </xf>
    <xf numFmtId="44" fontId="1" fillId="3" borderId="13" xfId="1" applyNumberFormat="1" applyFont="1" applyFill="1" applyBorder="1" applyAlignment="1">
      <alignment vertical="top" shrinkToFit="1"/>
    </xf>
    <xf numFmtId="44" fontId="1" fillId="5" borderId="15" xfId="1" applyNumberFormat="1" applyFont="1" applyFill="1" applyBorder="1" applyAlignment="1">
      <alignment vertical="top" shrinkToFit="1"/>
    </xf>
    <xf numFmtId="166" fontId="4" fillId="2" borderId="0" xfId="0" applyNumberFormat="1" applyFont="1" applyFill="1" applyBorder="1" applyAlignment="1">
      <alignment vertical="top"/>
    </xf>
    <xf numFmtId="166" fontId="4" fillId="2" borderId="0" xfId="0" applyNumberFormat="1" applyFont="1" applyFill="1" applyBorder="1" applyAlignment="1">
      <alignment vertical="top" shrinkToFit="1"/>
    </xf>
    <xf numFmtId="44" fontId="4" fillId="2" borderId="9" xfId="1" applyFont="1" applyFill="1" applyBorder="1" applyAlignment="1">
      <alignment vertical="top" shrinkToFit="1"/>
    </xf>
    <xf numFmtId="0" fontId="6" fillId="3" borderId="8" xfId="0" applyFont="1" applyFill="1" applyBorder="1" applyAlignment="1">
      <alignment horizontal="left" vertical="top" wrapText="1"/>
    </xf>
    <xf numFmtId="166" fontId="4" fillId="0" borderId="0" xfId="0" applyNumberFormat="1" applyFont="1" applyBorder="1" applyAlignment="1">
      <alignment vertical="top"/>
    </xf>
    <xf numFmtId="166" fontId="4" fillId="0" borderId="0" xfId="0" applyNumberFormat="1" applyFont="1" applyBorder="1" applyAlignment="1">
      <alignment vertical="top" shrinkToFit="1"/>
    </xf>
    <xf numFmtId="44" fontId="4" fillId="0" borderId="9" xfId="1" applyFont="1" applyBorder="1" applyAlignment="1">
      <alignment vertical="top" shrinkToFit="1"/>
    </xf>
    <xf numFmtId="0" fontId="6" fillId="2" borderId="8" xfId="0" applyFont="1" applyFill="1" applyBorder="1" applyAlignment="1">
      <alignment horizontal="left" vertical="top" wrapText="1"/>
    </xf>
    <xf numFmtId="166" fontId="4" fillId="0" borderId="0" xfId="0" applyNumberFormat="1" applyFont="1" applyBorder="1" applyAlignment="1">
      <alignment horizontal="left" wrapText="1"/>
    </xf>
    <xf numFmtId="44" fontId="4" fillId="0" borderId="9" xfId="1" applyFont="1" applyBorder="1" applyAlignment="1">
      <alignment horizontal="left" wrapText="1"/>
    </xf>
    <xf numFmtId="166" fontId="4" fillId="3" borderId="0" xfId="0" applyNumberFormat="1" applyFont="1" applyFill="1" applyBorder="1" applyAlignment="1">
      <alignment horizontal="left" vertical="top"/>
    </xf>
    <xf numFmtId="166" fontId="4" fillId="3" borderId="0" xfId="0" applyNumberFormat="1" applyFont="1" applyFill="1" applyBorder="1" applyAlignment="1">
      <alignment horizontal="left" vertical="top" shrinkToFit="1"/>
    </xf>
    <xf numFmtId="44" fontId="4" fillId="3" borderId="9" xfId="1" applyFont="1" applyFill="1" applyBorder="1" applyAlignment="1">
      <alignment horizontal="left" vertical="top" shrinkToFit="1"/>
    </xf>
    <xf numFmtId="166" fontId="4" fillId="0" borderId="0" xfId="0" applyNumberFormat="1" applyFont="1" applyBorder="1" applyAlignment="1">
      <alignment horizontal="left" vertical="top"/>
    </xf>
    <xf numFmtId="166" fontId="6" fillId="0" borderId="0" xfId="0" applyNumberFormat="1" applyFont="1" applyBorder="1" applyAlignment="1">
      <alignment horizontal="left" vertical="top" wrapText="1"/>
    </xf>
    <xf numFmtId="44" fontId="6" fillId="0" borderId="9" xfId="1" applyFont="1" applyBorder="1" applyAlignment="1">
      <alignment horizontal="left" vertical="top" wrapText="1"/>
    </xf>
    <xf numFmtId="166" fontId="4" fillId="0" borderId="0" xfId="0" applyNumberFormat="1" applyFont="1" applyBorder="1" applyAlignment="1">
      <alignment horizontal="left" vertical="top" shrinkToFit="1"/>
    </xf>
    <xf numFmtId="44" fontId="4" fillId="0" borderId="9" xfId="1" applyFont="1" applyBorder="1" applyAlignment="1">
      <alignment horizontal="left" vertical="top" shrinkToFit="1"/>
    </xf>
    <xf numFmtId="0" fontId="4" fillId="0" borderId="8" xfId="0" applyFont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 wrapText="1"/>
    </xf>
    <xf numFmtId="166" fontId="4" fillId="0" borderId="0" xfId="0" applyNumberFormat="1" applyFont="1" applyBorder="1" applyAlignment="1">
      <alignment horizontal="right" vertical="top" shrinkToFit="1"/>
    </xf>
    <xf numFmtId="44" fontId="4" fillId="0" borderId="9" xfId="1" applyFont="1" applyBorder="1" applyAlignment="1">
      <alignment horizontal="left" vertical="top" indent="1" shrinkToFit="1"/>
    </xf>
    <xf numFmtId="166" fontId="4" fillId="0" borderId="0" xfId="0" applyNumberFormat="1" applyFont="1" applyBorder="1" applyAlignment="1">
      <alignment horizontal="left" vertical="center" wrapText="1"/>
    </xf>
    <xf numFmtId="44" fontId="4" fillId="0" borderId="9" xfId="1" applyFont="1" applyBorder="1" applyAlignment="1">
      <alignment horizontal="left" vertical="center" wrapText="1"/>
    </xf>
    <xf numFmtId="44" fontId="4" fillId="0" borderId="9" xfId="1" applyFont="1" applyBorder="1" applyAlignment="1">
      <alignment horizontal="center" vertical="top" shrinkToFit="1"/>
    </xf>
    <xf numFmtId="0" fontId="6" fillId="0" borderId="16" xfId="0" applyFont="1" applyBorder="1" applyAlignment="1">
      <alignment horizontal="left" vertical="top" wrapText="1"/>
    </xf>
    <xf numFmtId="166" fontId="4" fillId="0" borderId="17" xfId="0" applyNumberFormat="1" applyFont="1" applyBorder="1" applyAlignment="1">
      <alignment horizontal="left" vertical="top"/>
    </xf>
    <xf numFmtId="44" fontId="4" fillId="0" borderId="17" xfId="1" applyFont="1" applyBorder="1" applyAlignment="1">
      <alignment horizontal="center" vertical="top" shrinkToFit="1"/>
    </xf>
    <xf numFmtId="44" fontId="4" fillId="0" borderId="18" xfId="1" applyFont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([$$-409]* #,##0.00_);_([$$-409]* \(#,##0.00\);_([$$-409]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Per Year (In Millions)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Year 2022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MSI'!$A$4:$A$6</c:f>
              <c:strCache>
                <c:ptCount val="3"/>
                <c:pt idx="0">
                  <c:v>Net sales from products</c:v>
                </c:pt>
                <c:pt idx="1">
                  <c:v>Net sales from services</c:v>
                </c:pt>
                <c:pt idx="2">
                  <c:v>Net sales</c:v>
                </c:pt>
              </c:strCache>
            </c:strRef>
          </c:cat>
          <c:val>
            <c:numRef>
              <c:f>'Clean Data MSI'!$B$4:$B$6</c:f>
              <c:numCache>
                <c:formatCode>_([$$-409]* #,##0.00_);_([$$-409]* \(#,##0.00\);_([$$-409]* "-"??_);_(@_)</c:formatCode>
                <c:ptCount val="3"/>
                <c:pt idx="0">
                  <c:v>5368</c:v>
                </c:pt>
                <c:pt idx="1">
                  <c:v>3744</c:v>
                </c:pt>
                <c:pt idx="2">
                  <c:v>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4-4D55-8F20-DAE0FB3AFFD5}"/>
            </c:ext>
          </c:extLst>
        </c:ser>
        <c:ser>
          <c:idx val="1"/>
          <c:order val="1"/>
          <c:tx>
            <c:v>Year 2023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MSI'!$A$4:$A$6</c:f>
              <c:strCache>
                <c:ptCount val="3"/>
                <c:pt idx="0">
                  <c:v>Net sales from products</c:v>
                </c:pt>
                <c:pt idx="1">
                  <c:v>Net sales from services</c:v>
                </c:pt>
                <c:pt idx="2">
                  <c:v>Net sales</c:v>
                </c:pt>
              </c:strCache>
            </c:strRef>
          </c:cat>
          <c:val>
            <c:numRef>
              <c:f>'Clean Data MSI'!$C$4:$C$6</c:f>
              <c:numCache>
                <c:formatCode>_([$$-409]* #,##0.00_);_([$$-409]* \(#,##0.00\);_([$$-409]* "-"??_);_(@_)</c:formatCode>
                <c:ptCount val="3"/>
                <c:pt idx="0">
                  <c:v>5814</c:v>
                </c:pt>
                <c:pt idx="1">
                  <c:v>4164</c:v>
                </c:pt>
                <c:pt idx="2">
                  <c:v>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4-4D55-8F20-DAE0FB3AFFD5}"/>
            </c:ext>
          </c:extLst>
        </c:ser>
        <c:ser>
          <c:idx val="2"/>
          <c:order val="2"/>
          <c:tx>
            <c:v>Year 2024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MSI'!$A$4:$A$6</c:f>
              <c:strCache>
                <c:ptCount val="3"/>
                <c:pt idx="0">
                  <c:v>Net sales from products</c:v>
                </c:pt>
                <c:pt idx="1">
                  <c:v>Net sales from services</c:v>
                </c:pt>
                <c:pt idx="2">
                  <c:v>Net sales</c:v>
                </c:pt>
              </c:strCache>
            </c:strRef>
          </c:cat>
          <c:val>
            <c:numRef>
              <c:f>'Clean Data MSI'!$D$4:$D$6</c:f>
              <c:numCache>
                <c:formatCode>_("$"* #,##0.00_);_("$"* \(#,##0.00\);_("$"* "-"??_);_(@_)</c:formatCode>
                <c:ptCount val="3"/>
                <c:pt idx="0">
                  <c:v>6454</c:v>
                </c:pt>
                <c:pt idx="1">
                  <c:v>4363</c:v>
                </c:pt>
                <c:pt idx="2">
                  <c:v>10817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4-4D55-8F20-DAE0FB3AFF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7462047"/>
        <c:axId val="168746300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'Clean Data MSI'!$A$4:$A$6</c15:sqref>
                        </c15:formulaRef>
                      </c:ext>
                    </c:extLst>
                    <c:strCache>
                      <c:ptCount val="3"/>
                      <c:pt idx="0">
                        <c:v>Net sales from products</c:v>
                      </c:pt>
                      <c:pt idx="1">
                        <c:v>Net sales from services</c:v>
                      </c:pt>
                      <c:pt idx="2">
                        <c:v>Net sales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'Clean Data MSI'!$E$4:$E$6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954-4D55-8F20-DAE0FB3AFFD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'Clean Data MSI'!$A$4:$A$6</c15:sqref>
                        </c15:formulaRef>
                      </c:ext>
                    </c:extLst>
                    <c:strCache>
                      <c:ptCount val="3"/>
                      <c:pt idx="0">
                        <c:v>Net sales from products</c:v>
                      </c:pt>
                      <c:pt idx="1">
                        <c:v>Net sales from services</c:v>
                      </c:pt>
                      <c:pt idx="2">
                        <c:v>Net sales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'Clean Data MSI'!$F$4:$F$6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954-4D55-8F20-DAE0FB3AFFD5}"/>
                  </c:ext>
                </c:extLst>
              </c15:ser>
            </c15:filteredBarSeries>
          </c:ext>
        </c:extLst>
      </c:barChart>
      <c:catAx>
        <c:axId val="168746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63007"/>
        <c:crosses val="autoZero"/>
        <c:auto val="1"/>
        <c:lblAlgn val="ctr"/>
        <c:lblOffset val="100"/>
        <c:noMultiLvlLbl val="0"/>
      </c:catAx>
      <c:valAx>
        <c:axId val="1687463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Cost Per Year (In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Year 2022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_(&quot;$&quot;* #,##0.00_);_(&quot;$&quot;* \(#,##0.00\);_(&quot;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MSI'!$A$7:$A$9</c:f>
              <c:strCache>
                <c:ptCount val="3"/>
                <c:pt idx="0">
                  <c:v>Costs of products sales</c:v>
                </c:pt>
                <c:pt idx="1">
                  <c:v>Costs of services sales</c:v>
                </c:pt>
                <c:pt idx="2">
                  <c:v>Costs of sales</c:v>
                </c:pt>
              </c:strCache>
            </c:strRef>
          </c:cat>
          <c:val>
            <c:numRef>
              <c:f>'Clean Data MSI'!$B$7:$B$9</c:f>
              <c:numCache>
                <c:formatCode>_([$$-409]* #,##0.00_);_([$$-409]* \(#,##0.00\);_([$$-409]* "-"??_);_(@_)</c:formatCode>
                <c:ptCount val="3"/>
                <c:pt idx="0">
                  <c:v>2595</c:v>
                </c:pt>
                <c:pt idx="1">
                  <c:v>2288</c:v>
                </c:pt>
                <c:pt idx="2">
                  <c:v>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9-4214-9B77-01653122FE95}"/>
            </c:ext>
          </c:extLst>
        </c:ser>
        <c:ser>
          <c:idx val="1"/>
          <c:order val="1"/>
          <c:tx>
            <c:v>Year 2023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MSI'!$A$7:$A$9</c:f>
              <c:strCache>
                <c:ptCount val="3"/>
                <c:pt idx="0">
                  <c:v>Costs of products sales</c:v>
                </c:pt>
                <c:pt idx="1">
                  <c:v>Costs of services sales</c:v>
                </c:pt>
                <c:pt idx="2">
                  <c:v>Costs of sales</c:v>
                </c:pt>
              </c:strCache>
            </c:strRef>
          </c:cat>
          <c:val>
            <c:numRef>
              <c:f>'Clean Data MSI'!$C$7:$C$9</c:f>
              <c:numCache>
                <c:formatCode>_([$$-409]* #,##0.00_);_([$$-409]* \(#,##0.00\);_([$$-409]* "-"??_);_(@_)</c:formatCode>
                <c:ptCount val="3"/>
                <c:pt idx="0">
                  <c:v>2591</c:v>
                </c:pt>
                <c:pt idx="1">
                  <c:v>2417</c:v>
                </c:pt>
                <c:pt idx="2">
                  <c:v>5008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9-4214-9B77-01653122FE95}"/>
            </c:ext>
          </c:extLst>
        </c:ser>
        <c:ser>
          <c:idx val="2"/>
          <c:order val="2"/>
          <c:tx>
            <c:v>Year 2024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 Data MSI'!$A$7:$A$9</c:f>
              <c:strCache>
                <c:ptCount val="3"/>
                <c:pt idx="0">
                  <c:v>Costs of products sales</c:v>
                </c:pt>
                <c:pt idx="1">
                  <c:v>Costs of services sales</c:v>
                </c:pt>
                <c:pt idx="2">
                  <c:v>Costs of sales</c:v>
                </c:pt>
              </c:strCache>
            </c:strRef>
          </c:cat>
          <c:val>
            <c:numRef>
              <c:f>'Clean Data MSI'!$D$7:$D$9</c:f>
              <c:numCache>
                <c:formatCode>_("$"* #,##0.00_);_("$"* \(#,##0.00\);_("$"* "-"??_);_(@_)</c:formatCode>
                <c:ptCount val="3"/>
                <c:pt idx="0" formatCode="&quot;$&quot;#,##0.00_);[Red]\(&quot;$&quot;#,##0.00\)">
                  <c:v>2674</c:v>
                </c:pt>
                <c:pt idx="1">
                  <c:v>2631</c:v>
                </c:pt>
                <c:pt idx="2">
                  <c:v>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9-4214-9B77-01653122FE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83469023"/>
        <c:axId val="178345654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'Clean Data MSI'!$A$7:$A$9</c15:sqref>
                        </c15:formulaRef>
                      </c:ext>
                    </c:extLst>
                    <c:strCache>
                      <c:ptCount val="3"/>
                      <c:pt idx="0">
                        <c:v>Costs of products sales</c:v>
                      </c:pt>
                      <c:pt idx="1">
                        <c:v>Costs of services sales</c:v>
                      </c:pt>
                      <c:pt idx="2">
                        <c:v>Costs of sales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'Clean Data MSI'!$E$7:$E$9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079-4214-9B77-01653122FE9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'Clean Data MSI'!$A$7:$A$9</c15:sqref>
                        </c15:formulaRef>
                      </c:ext>
                    </c:extLst>
                    <c:strCache>
                      <c:ptCount val="3"/>
                      <c:pt idx="0">
                        <c:v>Costs of products sales</c:v>
                      </c:pt>
                      <c:pt idx="1">
                        <c:v>Costs of services sales</c:v>
                      </c:pt>
                      <c:pt idx="2">
                        <c:v>Costs of sales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'Clean Data MSI'!$F$7:$F$9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079-4214-9B77-01653122FE95}"/>
                  </c:ext>
                </c:extLst>
              </c15:ser>
            </c15:filteredBarSeries>
          </c:ext>
        </c:extLst>
      </c:barChart>
      <c:catAx>
        <c:axId val="178346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456543"/>
        <c:crosses val="autoZero"/>
        <c:auto val="1"/>
        <c:lblAlgn val="ctr"/>
        <c:lblOffset val="100"/>
        <c:noMultiLvlLbl val="0"/>
      </c:catAx>
      <c:valAx>
        <c:axId val="1783456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46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42333</xdr:colOff>
      <xdr:row>2</xdr:row>
      <xdr:rowOff>1322</xdr:rowOff>
    </xdr:from>
    <xdr:to>
      <xdr:col>13</xdr:col>
      <xdr:colOff>523874</xdr:colOff>
      <xdr:row>15</xdr:row>
      <xdr:rowOff>173313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4A586EB-A5A4-DF9E-B9ED-974FE1FA7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41670</xdr:colOff>
      <xdr:row>17</xdr:row>
      <xdr:rowOff>11907</xdr:rowOff>
    </xdr:from>
    <xdr:to>
      <xdr:col>14</xdr:col>
      <xdr:colOff>0</xdr:colOff>
      <xdr:row>31</xdr:row>
      <xdr:rowOff>23813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3A428E4-88D3-0271-89D1-2ECFAC11E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94FEC-4B44-405B-988C-A2A043BD5759}" name="Table4" displayName="Table4" ref="B3:D34" totalsRowShown="0" headerRowDxfId="3">
  <autoFilter ref="B3:D34" xr:uid="{19E94FEC-4B44-405B-988C-A2A043BD5759}"/>
  <tableColumns count="3">
    <tableColumn id="1" xr3:uid="{3786A6F0-2440-410B-A88C-B60404E02B25}" name="2022" dataDxfId="2"/>
    <tableColumn id="2" xr3:uid="{E292C63F-7F08-46FA-B318-8C66EF3B2D65}" name="2023" dataDxfId="1" dataCellStyle="Currency"/>
    <tableColumn id="3" xr3:uid="{BE17BF10-924F-4B4B-9FD7-4AE502BEB1A0}" name="2024" dataDxfId="0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94CB-B539-4AC9-8227-7C842001FD05}">
  <dimension ref="A1:F36"/>
  <sheetViews>
    <sheetView tabSelected="1" topLeftCell="A8" zoomScale="90" zoomScaleNormal="90" workbookViewId="0">
      <selection activeCell="F17" sqref="F17"/>
    </sheetView>
  </sheetViews>
  <sheetFormatPr defaultRowHeight="15" x14ac:dyDescent="0.2"/>
  <cols>
    <col min="1" max="1" width="79.5" style="2" customWidth="1"/>
    <col min="2" max="3" width="14.83203125" style="2" bestFit="1" customWidth="1"/>
    <col min="4" max="4" width="16.33203125" style="1" customWidth="1"/>
    <col min="5" max="5" width="9.33203125" style="2"/>
    <col min="6" max="6" width="13.83203125" style="2" bestFit="1" customWidth="1"/>
    <col min="7" max="16384" width="9.33203125" style="2"/>
  </cols>
  <sheetData>
    <row r="1" spans="1:6" ht="30" customHeight="1" x14ac:dyDescent="0.2">
      <c r="A1" s="13" t="s">
        <v>30</v>
      </c>
      <c r="B1" s="14"/>
      <c r="C1" s="14"/>
      <c r="D1" s="14"/>
    </row>
    <row r="2" spans="1:6" ht="15.75" thickBot="1" x14ac:dyDescent="0.25"/>
    <row r="3" spans="1:6" x14ac:dyDescent="0.2">
      <c r="A3" s="15" t="s">
        <v>0</v>
      </c>
      <c r="B3" s="16" t="s">
        <v>27</v>
      </c>
      <c r="C3" s="16" t="s">
        <v>28</v>
      </c>
      <c r="D3" s="17" t="s">
        <v>29</v>
      </c>
    </row>
    <row r="4" spans="1:6" x14ac:dyDescent="0.2">
      <c r="A4" s="18" t="s">
        <v>3</v>
      </c>
      <c r="B4" s="19">
        <v>5368</v>
      </c>
      <c r="C4" s="20">
        <v>5814</v>
      </c>
      <c r="D4" s="21">
        <v>6454</v>
      </c>
    </row>
    <row r="5" spans="1:6" x14ac:dyDescent="0.2">
      <c r="A5" s="18" t="s">
        <v>4</v>
      </c>
      <c r="B5" s="19">
        <v>3744</v>
      </c>
      <c r="C5" s="20">
        <v>4164</v>
      </c>
      <c r="D5" s="21">
        <v>4363</v>
      </c>
    </row>
    <row r="6" spans="1:6" s="8" customFormat="1" x14ac:dyDescent="0.2">
      <c r="A6" s="59" t="s">
        <v>5</v>
      </c>
      <c r="B6" s="22">
        <v>9112</v>
      </c>
      <c r="C6" s="23">
        <v>9978</v>
      </c>
      <c r="D6" s="24">
        <v>10817</v>
      </c>
    </row>
    <row r="7" spans="1:6" ht="15.75" thickBot="1" x14ac:dyDescent="0.25">
      <c r="A7" s="25" t="s">
        <v>6</v>
      </c>
      <c r="B7" s="9">
        <v>2595</v>
      </c>
      <c r="C7" s="10">
        <v>2591</v>
      </c>
      <c r="D7" s="26">
        <v>2674</v>
      </c>
    </row>
    <row r="8" spans="1:6" x14ac:dyDescent="0.2">
      <c r="A8" s="27" t="s">
        <v>7</v>
      </c>
      <c r="B8" s="11">
        <v>2288</v>
      </c>
      <c r="C8" s="12">
        <v>2417</v>
      </c>
      <c r="D8" s="28">
        <v>2631</v>
      </c>
    </row>
    <row r="9" spans="1:6" x14ac:dyDescent="0.2">
      <c r="A9" s="60" t="s">
        <v>8</v>
      </c>
      <c r="B9" s="6">
        <v>4883</v>
      </c>
      <c r="C9" s="7">
        <v>5008</v>
      </c>
      <c r="D9" s="29">
        <v>5305</v>
      </c>
    </row>
    <row r="10" spans="1:6" x14ac:dyDescent="0.2">
      <c r="A10" s="18" t="s">
        <v>9</v>
      </c>
      <c r="B10" s="30">
        <v>4229</v>
      </c>
      <c r="C10" s="31">
        <v>4970</v>
      </c>
      <c r="D10" s="32">
        <v>5512</v>
      </c>
      <c r="F10" s="3"/>
    </row>
    <row r="11" spans="1:6" x14ac:dyDescent="0.2">
      <c r="A11" s="18" t="s">
        <v>10</v>
      </c>
      <c r="B11" s="19">
        <v>1450</v>
      </c>
      <c r="C11" s="20">
        <v>1561</v>
      </c>
      <c r="D11" s="21">
        <v>1752</v>
      </c>
      <c r="F11" s="3"/>
    </row>
    <row r="12" spans="1:6" x14ac:dyDescent="0.2">
      <c r="A12" s="18" t="s">
        <v>11</v>
      </c>
      <c r="B12" s="19">
        <v>779</v>
      </c>
      <c r="C12" s="20">
        <v>858</v>
      </c>
      <c r="D12" s="21">
        <v>917</v>
      </c>
    </row>
    <row r="13" spans="1:6" x14ac:dyDescent="0.2">
      <c r="A13" s="18" t="s">
        <v>12</v>
      </c>
      <c r="B13" s="19">
        <v>-339</v>
      </c>
      <c r="C13" s="20">
        <v>-257</v>
      </c>
      <c r="D13" s="21">
        <v>-155</v>
      </c>
    </row>
    <row r="14" spans="1:6" x14ac:dyDescent="0.2">
      <c r="A14" s="33" t="s">
        <v>13</v>
      </c>
      <c r="B14" s="34">
        <v>1661</v>
      </c>
      <c r="C14" s="35">
        <v>2294</v>
      </c>
      <c r="D14" s="36">
        <v>2688</v>
      </c>
    </row>
    <row r="15" spans="1:6" x14ac:dyDescent="0.25">
      <c r="A15" s="37" t="s">
        <v>14</v>
      </c>
      <c r="B15" s="1"/>
      <c r="C15" s="38"/>
      <c r="D15" s="39"/>
    </row>
    <row r="16" spans="1:6" x14ac:dyDescent="0.2">
      <c r="A16" s="18" t="s">
        <v>15</v>
      </c>
      <c r="B16" s="40">
        <v>-226</v>
      </c>
      <c r="C16" s="41">
        <v>-216</v>
      </c>
      <c r="D16" s="42">
        <v>-227</v>
      </c>
    </row>
    <row r="17" spans="1:4" x14ac:dyDescent="0.2">
      <c r="A17" s="18" t="s">
        <v>16</v>
      </c>
      <c r="B17" s="43">
        <v>3</v>
      </c>
      <c r="C17" s="44"/>
      <c r="D17" s="45"/>
    </row>
    <row r="18" spans="1:4" x14ac:dyDescent="0.2">
      <c r="A18" s="18" t="s">
        <v>17</v>
      </c>
      <c r="B18" s="40">
        <v>77</v>
      </c>
      <c r="C18" s="41">
        <v>68</v>
      </c>
      <c r="D18" s="42">
        <v>-489</v>
      </c>
    </row>
    <row r="19" spans="1:4" x14ac:dyDescent="0.2">
      <c r="A19" s="18" t="s">
        <v>18</v>
      </c>
      <c r="B19" s="40">
        <v>-146</v>
      </c>
      <c r="C19" s="41">
        <v>-148</v>
      </c>
      <c r="D19" s="42">
        <v>-716</v>
      </c>
    </row>
    <row r="20" spans="1:4" x14ac:dyDescent="0.2">
      <c r="A20" s="18" t="s">
        <v>19</v>
      </c>
      <c r="B20" s="40">
        <v>1515</v>
      </c>
      <c r="C20" s="41">
        <v>2146</v>
      </c>
      <c r="D20" s="42">
        <v>1972</v>
      </c>
    </row>
    <row r="21" spans="1:4" x14ac:dyDescent="0.2">
      <c r="A21" s="18" t="s">
        <v>20</v>
      </c>
      <c r="B21" s="40">
        <v>-148</v>
      </c>
      <c r="C21" s="41">
        <v>-432</v>
      </c>
      <c r="D21" s="42">
        <v>-390</v>
      </c>
    </row>
    <row r="22" spans="1:4" x14ac:dyDescent="0.2">
      <c r="A22" s="33" t="s">
        <v>21</v>
      </c>
      <c r="B22" s="43">
        <v>1367</v>
      </c>
      <c r="C22" s="46">
        <v>1714</v>
      </c>
      <c r="D22" s="47">
        <v>1582</v>
      </c>
    </row>
    <row r="23" spans="1:4" x14ac:dyDescent="0.2">
      <c r="A23" s="18" t="s">
        <v>22</v>
      </c>
      <c r="B23" s="43">
        <v>4</v>
      </c>
      <c r="C23" s="46">
        <v>5</v>
      </c>
      <c r="D23" s="47">
        <v>5</v>
      </c>
    </row>
    <row r="24" spans="1:4" x14ac:dyDescent="0.2">
      <c r="A24" s="18" t="s">
        <v>23</v>
      </c>
      <c r="B24" s="43">
        <v>1363</v>
      </c>
      <c r="C24" s="46">
        <v>1709</v>
      </c>
      <c r="D24" s="47">
        <v>1577</v>
      </c>
    </row>
    <row r="25" spans="1:4" x14ac:dyDescent="0.2">
      <c r="A25" s="48"/>
      <c r="B25" s="43"/>
      <c r="C25" s="46"/>
      <c r="D25" s="47"/>
    </row>
    <row r="26" spans="1:4" x14ac:dyDescent="0.25">
      <c r="A26" s="49" t="s">
        <v>1</v>
      </c>
      <c r="B26" s="1"/>
      <c r="C26" s="38"/>
      <c r="D26" s="39"/>
    </row>
    <row r="27" spans="1:4" x14ac:dyDescent="0.2">
      <c r="A27" s="18" t="s">
        <v>24</v>
      </c>
      <c r="B27" s="43">
        <v>8.14</v>
      </c>
      <c r="C27" s="50">
        <v>10.23</v>
      </c>
      <c r="D27" s="51">
        <v>9.4499999999999993</v>
      </c>
    </row>
    <row r="28" spans="1:4" x14ac:dyDescent="0.25">
      <c r="A28" s="48"/>
      <c r="B28" s="1"/>
      <c r="C28" s="38"/>
      <c r="D28" s="39"/>
    </row>
    <row r="29" spans="1:4" x14ac:dyDescent="0.2">
      <c r="A29" s="18" t="s">
        <v>25</v>
      </c>
      <c r="B29" s="43">
        <v>7.93</v>
      </c>
      <c r="C29" s="50">
        <v>9.93</v>
      </c>
      <c r="D29" s="51">
        <v>9.23</v>
      </c>
    </row>
    <row r="30" spans="1:4" x14ac:dyDescent="0.2">
      <c r="A30" s="49" t="s">
        <v>2</v>
      </c>
      <c r="B30" s="43"/>
      <c r="C30" s="50"/>
      <c r="D30" s="51"/>
    </row>
    <row r="31" spans="1:4" x14ac:dyDescent="0.2">
      <c r="A31" s="48"/>
      <c r="B31" s="1"/>
      <c r="C31" s="52"/>
      <c r="D31" s="53"/>
    </row>
    <row r="32" spans="1:4" x14ac:dyDescent="0.2">
      <c r="A32" s="18" t="s">
        <v>24</v>
      </c>
      <c r="B32" s="43">
        <v>167.5</v>
      </c>
      <c r="C32" s="4">
        <v>167</v>
      </c>
      <c r="D32" s="54">
        <v>166.8</v>
      </c>
    </row>
    <row r="33" spans="1:4" x14ac:dyDescent="0.2">
      <c r="A33" s="18" t="s">
        <v>25</v>
      </c>
      <c r="B33" s="43">
        <v>171.9</v>
      </c>
      <c r="C33" s="4">
        <v>172.1</v>
      </c>
      <c r="D33" s="54">
        <v>170.8</v>
      </c>
    </row>
    <row r="34" spans="1:4" ht="15.75" thickBot="1" x14ac:dyDescent="0.25">
      <c r="A34" s="55" t="s">
        <v>26</v>
      </c>
      <c r="B34" s="56">
        <v>3.25</v>
      </c>
      <c r="C34" s="57">
        <v>3.62</v>
      </c>
      <c r="D34" s="58">
        <v>4.03</v>
      </c>
    </row>
    <row r="35" spans="1:4" x14ac:dyDescent="0.2">
      <c r="C35" s="5"/>
      <c r="D35" s="4"/>
    </row>
    <row r="36" spans="1:4" x14ac:dyDescent="0.2">
      <c r="C36" s="3"/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 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Inline Viewer: MOTOROLA SOLUTIONS, INC. 10-K 2024-12-31</dc:title>
  <dc:creator>Kay</dc:creator>
  <cp:lastModifiedBy>Kyle McClure</cp:lastModifiedBy>
  <dcterms:created xsi:type="dcterms:W3CDTF">2025-04-29T21:56:32Z</dcterms:created>
  <dcterms:modified xsi:type="dcterms:W3CDTF">2025-04-30T02:18:00Z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2025-04-29T00:00:00Z</vt:filetime>
  </property>
  <property fmtid="{D5CDD505-2E9C-101B-9397-08002B2CF9AE}" pid="3" name="Creator">
    <vt:lpwstr>Mozilla/5.0 (Windows NT 10.0; Win64; x64) AppleWebKit/537.36 (KHTML, like Gecko) Chrome/135.0.0.0 Safari/537.36</vt:lpwstr>
  </property>
  <property fmtid="{D5CDD505-2E9C-101B-9397-08002B2CF9AE}" pid="4" name="LastSaved">
    <vt:filetime>2025-04-29T00:00:00Z</vt:filetime>
  </property>
  <property fmtid="{D5CDD505-2E9C-101B-9397-08002B2CF9AE}" pid="5" name="Producer">
    <vt:lpwstr>Skia/PDF m135</vt:lpwstr>
  </property>
</Properties>
</file>